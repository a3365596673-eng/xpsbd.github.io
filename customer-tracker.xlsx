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Tracker" sheetId="1" state="visible" r:id="rId1"/>
    <sheet xmlns:r="http://schemas.openxmlformats.org/officeDocument/2006/relationships" name="Stats" sheetId="2" state="visible" r:id="rId2"/>
  </sheets>
  <definedNames>
    <definedName name="_xlnm._FilterDatabase" localSheetId="0" hidden="1">'Customer Tracker'!$A$1:$U$200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4B183"/>
          <bgColor rgb="00F4B18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20" customWidth="1" min="4" max="4"/>
    <col width="35" customWidth="1" min="5" max="5"/>
    <col width="30" customWidth="1" min="6" max="6"/>
    <col width="15" customWidth="1" min="7" max="7"/>
    <col width="12" customWidth="1" min="8" max="8"/>
    <col width="15" customWidth="1" min="9" max="9"/>
    <col width="12" customWidth="1" min="10" max="10"/>
    <col width="14" customWidth="1" min="11" max="11"/>
    <col width="14" customWidth="1" min="12" max="12"/>
    <col width="18" customWidth="1" min="13" max="13"/>
    <col width="14" customWidth="1" min="14" max="14"/>
    <col width="14" customWidth="1" min="15" max="15"/>
    <col width="16" customWidth="1" min="16" max="16"/>
    <col width="14" customWidth="1" min="17" max="17"/>
    <col width="16" customWidth="1" min="18" max="18"/>
    <col width="16" customWidth="1" min="19" max="19"/>
    <col width="12" customWidth="1" min="20" max="20"/>
    <col width="30" customWidth="1" min="21" max="21"/>
  </cols>
  <sheetData>
    <row r="1">
      <c r="A1" s="1" t="inlineStr">
        <is>
          <t>Company Name</t>
        </is>
      </c>
      <c r="B1" s="1" t="inlineStr">
        <is>
          <t>Country</t>
        </is>
      </c>
      <c r="C1" s="1" t="inlineStr">
        <is>
          <t>Contact Name</t>
        </is>
      </c>
      <c r="D1" s="1" t="inlineStr">
        <is>
          <t>Position</t>
        </is>
      </c>
      <c r="E1" s="1" t="inlineStr">
        <is>
          <t>LinkedIn URL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Source</t>
        </is>
      </c>
      <c r="I1" s="1" t="inlineStr">
        <is>
          <t>First Contact Date</t>
        </is>
      </c>
      <c r="J1" s="1" t="inlineStr">
        <is>
          <t>Email 1 Sent</t>
        </is>
      </c>
      <c r="K1" s="1" t="inlineStr">
        <is>
          <t>Email 2 Sent (3d)</t>
        </is>
      </c>
      <c r="L1" s="1" t="inlineStr">
        <is>
          <t>Email 3 Sent (10d)</t>
        </is>
      </c>
      <c r="M1" s="1" t="inlineStr">
        <is>
          <t>Reply Status</t>
        </is>
      </c>
      <c r="N1" s="1" t="inlineStr">
        <is>
          <t>Reply Date</t>
        </is>
      </c>
      <c r="O1" s="1" t="inlineStr">
        <is>
          <t>Interest Level</t>
        </is>
      </c>
      <c r="P1" s="1" t="inlineStr">
        <is>
          <t>Sample Requested</t>
        </is>
      </c>
      <c r="Q1" s="1" t="inlineStr">
        <is>
          <t>Sample Sent</t>
        </is>
      </c>
      <c r="R1" s="1" t="inlineStr">
        <is>
          <t>Quotation Sent</t>
        </is>
      </c>
      <c r="S1" s="1" t="inlineStr">
        <is>
          <t>Negotiation Stage</t>
        </is>
      </c>
      <c r="T1" s="1" t="inlineStr">
        <is>
          <t>Order Won</t>
        </is>
      </c>
      <c r="U1" s="1" t="inlineStr">
        <is>
          <t>Notes</t>
        </is>
      </c>
    </row>
    <row r="2">
      <c r="A2" s="2" t="inlineStr">
        <is>
          <t>ABC Building Supply Inc.</t>
        </is>
      </c>
      <c r="B2" s="3" t="inlineStr">
        <is>
          <t>United States</t>
        </is>
      </c>
      <c r="C2" s="3" t="inlineStr"/>
      <c r="D2" s="3" t="inlineStr"/>
      <c r="E2" s="3" t="inlineStr"/>
      <c r="F2" s="3" t="inlineStr"/>
      <c r="G2" s="3" t="inlineStr"/>
      <c r="H2" s="3" t="inlineStr">
        <is>
          <t>Google</t>
        </is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>
      <c r="A3" s="2" t="inlineStr">
        <is>
          <t>Baustoffe Mueller GmbH</t>
        </is>
      </c>
      <c r="B3" s="3" t="inlineStr">
        <is>
          <t>Germany</t>
        </is>
      </c>
      <c r="C3" s="3" t="inlineStr"/>
      <c r="D3" s="3" t="inlineStr"/>
      <c r="E3" s="3" t="inlineStr"/>
      <c r="F3" s="3" t="inlineStr"/>
      <c r="G3" s="3" t="inlineStr"/>
      <c r="H3" s="3" t="inlineStr">
        <is>
          <t>LinkedIn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>
      <c r="A4" s="2" t="inlineStr">
        <is>
          <t>Maple Construction Ltd</t>
        </is>
      </c>
      <c r="B4" s="3" t="inlineStr">
        <is>
          <t>Canada</t>
        </is>
      </c>
      <c r="C4" s="3" t="inlineStr"/>
      <c r="D4" s="3" t="inlineStr"/>
      <c r="E4" s="3" t="inlineStr"/>
      <c r="F4" s="3" t="inlineStr"/>
      <c r="G4" s="3" t="inlineStr"/>
      <c r="H4" s="3" t="inlineStr">
        <is>
          <t>Google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</row>
    <row r="5">
      <c r="A5" s="2" t="inlineStr">
        <is>
          <t>UK Insulation Co</t>
        </is>
      </c>
      <c r="B5" s="3" t="inlineStr">
        <is>
          <t>United Kingdom</t>
        </is>
      </c>
      <c r="C5" s="3" t="inlineStr"/>
      <c r="D5" s="3" t="inlineStr"/>
      <c r="E5" s="3" t="inlineStr"/>
      <c r="F5" s="3" t="inlineStr"/>
      <c r="G5" s="3" t="inlineStr"/>
      <c r="H5" s="3" t="inlineStr">
        <is>
          <t>Trade Map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>
      <c r="A6" s="2" t="inlineStr">
        <is>
          <t>Batiment Pro SARL</t>
        </is>
      </c>
      <c r="B6" s="3" t="inlineStr">
        <is>
          <t>France</t>
        </is>
      </c>
      <c r="C6" s="3" t="inlineStr"/>
      <c r="D6" s="3" t="inlineStr"/>
      <c r="E6" s="3" t="inlineStr"/>
      <c r="F6" s="3" t="inlineStr"/>
      <c r="G6" s="3" t="inlineStr"/>
      <c r="H6" s="3" t="inlineStr">
        <is>
          <t>LinkedIn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</row>
  </sheetData>
  <autoFilter ref="A1:U200"/>
  <conditionalFormatting sqref="M2:M200">
    <cfRule type="cellIs" priority="1" operator="equal" dxfId="0">
      <formula>"Replied - Positive"</formula>
    </cfRule>
    <cfRule type="cellIs" priority="2" operator="equal" dxfId="1">
      <formula>"Replied - Neutral"</formula>
    </cfRule>
    <cfRule type="cellIs" priority="3" operator="equal" dxfId="2">
      <formula>"Not Replied"</formula>
    </cfRule>
    <cfRule type="cellIs" priority="4" operator="equal" dxfId="2">
      <formula>"Bounced"</formula>
    </cfRule>
    <cfRule type="cellIs" priority="5" operator="equal" dxfId="3">
      <formula>"Follow-up Needed"</formula>
    </cfRule>
  </conditionalFormatting>
  <conditionalFormatting sqref="O2:O200">
    <cfRule type="cellIs" priority="6" operator="equal" dxfId="0">
      <formula>"Hot"</formula>
    </cfRule>
    <cfRule type="cellIs" priority="7" operator="equal" dxfId="1">
      <formula>"Warm"</formula>
    </cfRule>
  </conditionalFormatting>
  <conditionalFormatting sqref="A2:U200">
    <cfRule type="expression" priority="8" dxfId="2">
      <formula>AND(M2="", J2&lt;&gt;"", J2&lt;TODAY()-3)</formula>
    </cfRule>
    <cfRule type="expression" priority="9" dxfId="0">
      <formula>$T2="Yes"</formula>
    </cfRule>
  </conditionalFormatting>
  <dataValidations count="6">
    <dataValidation sqref="M2:M200" showDropDown="0" showInputMessage="0" showErrorMessage="0" allowBlank="1" type="list">
      <formula1>"Replied - Positive,Replied - Neutral,Not Replied,Bounced,Follow-up Needed"</formula1>
    </dataValidation>
    <dataValidation sqref="O2:O200" showDropDown="0" showInputMessage="0" showErrorMessage="0" allowBlank="1" type="list">
      <formula1>"Hot,Warm,Cold,Dormant"</formula1>
    </dataValidation>
    <dataValidation sqref="P2:P200" showDropDown="0" showInputMessage="0" showErrorMessage="0" allowBlank="1" type="list">
      <formula1>"Yes,No"</formula1>
    </dataValidation>
    <dataValidation sqref="Q2:Q200" showDropDown="0" showInputMessage="0" showErrorMessage="0" allowBlank="1" type="list">
      <formula1>"Yes,No"</formula1>
    </dataValidation>
    <dataValidation sqref="R2:R200" showDropDown="0" showInputMessage="0" showErrorMessage="0" allowBlank="1" type="list">
      <formula1>"Yes,No"</formula1>
    </dataValidation>
    <dataValidation sqref="T2:T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4" t="inlineStr">
        <is>
          <t>Quick Stats Reference</t>
        </is>
      </c>
    </row>
    <row r="2">
      <c r="A2" s="5" t="inlineStr">
        <is>
          <t>Metric</t>
        </is>
      </c>
      <c r="B2" s="5" t="inlineStr">
        <is>
          <t>Formula / Notes</t>
        </is>
      </c>
    </row>
    <row r="3">
      <c r="A3" t="inlineStr">
        <is>
          <t>Total Contacts</t>
        </is>
      </c>
      <c r="B3">
        <f>COUNTA('Customer Tracker'!A2:A200)</f>
        <v/>
      </c>
    </row>
    <row r="4">
      <c r="A4" t="inlineStr">
        <is>
          <t>Replied (Positive)</t>
        </is>
      </c>
      <c r="B4">
        <f>COUNTIF('Customer Tracker'!M2:M200,"Replied - Positive")</f>
        <v/>
      </c>
    </row>
    <row r="5">
      <c r="A5" t="inlineStr">
        <is>
          <t>Replied (Neutral)</t>
        </is>
      </c>
      <c r="B5">
        <f>COUNTIF('Customer Tracker'!M2:M200,"Replied - Neutral")</f>
        <v/>
      </c>
    </row>
    <row r="6">
      <c r="A6" t="inlineStr">
        <is>
          <t>Not Replied</t>
        </is>
      </c>
      <c r="B6">
        <f>COUNTIF('Customer Tracker'!M2:M200,"Not Replied")</f>
        <v/>
      </c>
    </row>
    <row r="7">
      <c r="A7" t="inlineStr">
        <is>
          <t>Bounced</t>
        </is>
      </c>
      <c r="B7">
        <f>COUNTIF('Customer Tracker'!M2:M200,"Bounced")</f>
        <v/>
      </c>
    </row>
    <row r="8">
      <c r="A8" t="inlineStr">
        <is>
          <t>Follow-up Needed</t>
        </is>
      </c>
      <c r="B8">
        <f>COUNTIF('Customer Tracker'!M2:M200,"Follow-up Needed")</f>
        <v/>
      </c>
    </row>
    <row r="9">
      <c r="A9" t="inlineStr">
        <is>
          <t>Hot Leads</t>
        </is>
      </c>
      <c r="B9">
        <f>COUNTIF('Customer Tracker'!O2:O200,"Hot")</f>
        <v/>
      </c>
    </row>
    <row r="10">
      <c r="A10" t="inlineStr">
        <is>
          <t>Warm Leads</t>
        </is>
      </c>
      <c r="B10">
        <f>COUNTIF('Customer Tracker'!O2:O200,"Warm")</f>
        <v/>
      </c>
    </row>
    <row r="11">
      <c r="A11" t="inlineStr">
        <is>
          <t>Samples Sent</t>
        </is>
      </c>
      <c r="B11">
        <f>COUNTIF('Customer Tracker'!Q2:Q200,"Yes")</f>
        <v/>
      </c>
    </row>
    <row r="12">
      <c r="A12" t="inlineStr">
        <is>
          <t>Orders Won</t>
        </is>
      </c>
      <c r="B12">
        <f>COUNTIF('Customer Tracker'!T2:T200,"Yes")</f>
        <v/>
      </c>
    </row>
    <row r="13">
      <c r="A13" t="inlineStr"/>
      <c r="B13" t="inlineStr"/>
    </row>
    <row r="14">
      <c r="A14" t="inlineStr">
        <is>
          <t>Reply Status Options:</t>
        </is>
      </c>
      <c r="B14" t="inlineStr">
        <is>
          <t>Replied - Positive, Replied - Neutral, Not Replied, Bounced, Follow-up Needed</t>
        </is>
      </c>
    </row>
    <row r="15">
      <c r="A15" t="inlineStr">
        <is>
          <t>Interest Level Options:</t>
        </is>
      </c>
      <c r="B15" t="inlineStr">
        <is>
          <t>Hot, Warm, Cold, Dormant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2026-06-08T09:54:38Z</dcterms:created>
  <dcterms:modified xmlns:dcterms="http://purl.org/dc/terms/" xmlns:xsi="http://www.w3.org/2001/XMLSchema-instance" xsi:type="dcterms:W3CDTF">2026-06-08T09:54:38Z</dcterms:modified>
</cp:coreProperties>
</file>